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 filterPrivacy="1"/>
  <xr:revisionPtr revIDLastSave="0" documentId="13_ncr:1_{BCAFB134-AF7C-48BF-A5CD-8E2039F4286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L17" i="1" s="1"/>
</calcChain>
</file>

<file path=xl/sharedStrings.xml><?xml version="1.0" encoding="utf-8"?>
<sst xmlns="http://schemas.openxmlformats.org/spreadsheetml/2006/main" count="180" uniqueCount="63">
  <si>
    <t>param_name</t>
  </si>
  <si>
    <t>ID</t>
  </si>
  <si>
    <t>LEV_DBAR</t>
  </si>
  <si>
    <t>LEV_M</t>
  </si>
  <si>
    <t>VAL</t>
  </si>
  <si>
    <t>LATITUDE</t>
  </si>
  <si>
    <t>LONGITUDE</t>
  </si>
  <si>
    <t>DATEANDTIME</t>
  </si>
  <si>
    <t>salinity</t>
  </si>
  <si>
    <t>temperature</t>
  </si>
  <si>
    <t>VAL_CONVERTED_NO_DENSITY</t>
  </si>
  <si>
    <t>VAL_CONVERTED_DENSITY</t>
  </si>
  <si>
    <t>ALKALINITY</t>
  </si>
  <si>
    <t>CHLOROPHYLL</t>
  </si>
  <si>
    <t>1970-04-13 03:05:00</t>
  </si>
  <si>
    <t>1936-08-26 12:05:00</t>
  </si>
  <si>
    <t>1937-09-29 18:58:00</t>
  </si>
  <si>
    <t>2013-08-23 20:25:17</t>
  </si>
  <si>
    <t>1991-05-01 00:00:00</t>
  </si>
  <si>
    <t xml:space="preserve">1981-01-31 03:34:00	</t>
  </si>
  <si>
    <t>UNITS_ID_in</t>
  </si>
  <si>
    <t>UNITS_ID_out</t>
  </si>
  <si>
    <t>AMMONIUM</t>
  </si>
  <si>
    <t>DIC</t>
  </si>
  <si>
    <t>DIN</t>
  </si>
  <si>
    <t>SF6</t>
  </si>
  <si>
    <t>OXYGEN</t>
  </si>
  <si>
    <t>BARIUM</t>
  </si>
  <si>
    <t>NITRATE</t>
  </si>
  <si>
    <t>NITRATENITRITE</t>
  </si>
  <si>
    <t>NITRITE</t>
  </si>
  <si>
    <t>PHOSPHATE</t>
  </si>
  <si>
    <t>SILICATE</t>
  </si>
  <si>
    <t>units_name_in</t>
  </si>
  <si>
    <t>units_name_out</t>
  </si>
  <si>
    <t>milli-equivalent per liter</t>
  </si>
  <si>
    <t>micro-mol per kilogram</t>
  </si>
  <si>
    <t>micro-gram per liter</t>
  </si>
  <si>
    <t>micro-gram per kilogram</t>
  </si>
  <si>
    <t>milli-mol per liter</t>
  </si>
  <si>
    <t>nano-mol per kilogram</t>
  </si>
  <si>
    <t>femto-mol per kilogram</t>
  </si>
  <si>
    <t>milliliter per liter</t>
  </si>
  <si>
    <t>2015-09-01 17:01:33</t>
  </si>
  <si>
    <t>2015-08-28 09:30:34</t>
  </si>
  <si>
    <t>2015-08-28 15:19:14</t>
  </si>
  <si>
    <t>2007-03-04 02:03:00</t>
  </si>
  <si>
    <t>1996-10-20 07:11:00</t>
  </si>
  <si>
    <t>2015-08-29 09:42:16</t>
  </si>
  <si>
    <t>2015-09-01 10:44:12</t>
  </si>
  <si>
    <t>FLUORESCENCE</t>
  </si>
  <si>
    <t>PAR</t>
  </si>
  <si>
    <t>TURBIDITY</t>
  </si>
  <si>
    <t>2007-09-17 00:00:00</t>
  </si>
  <si>
    <t>2007-09-21 00:00:00</t>
  </si>
  <si>
    <t>1936-09-30 13:02:00</t>
  </si>
  <si>
    <t>1936-09-30 16:18:00</t>
  </si>
  <si>
    <t>1929-11-27 00:00:00</t>
  </si>
  <si>
    <t>percent</t>
  </si>
  <si>
    <t>1964-12-18 17:00:00</t>
  </si>
  <si>
    <t>Correct?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</si>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</sst>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#,##0.00000"/>
    <numFmt numFmtId="166" formatCode="0.00000000000000"/>
    <numFmt numFmtId="167" formatCode="0.000000000000000"/>
    <numFmt numFmtId="169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15" fontId="0" fillId="0" borderId="0" xfId="0" quotePrefix="1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pane ySplit="1" topLeftCell="A2" activePane="bottomLeft" state="frozen"/>
      <selection pane="bottomLeft" activeCell="C25" sqref="C25"/>
    </sheetView>
  </sheetViews>
  <sheetFormatPr baseColWidth="10" defaultColWidth="8.88671875" defaultRowHeight="14.4" x14ac:dyDescent="0.3"/>
  <cols>
    <col min="1" max="1" width="14.6640625" bestFit="1" customWidth="1"/>
    <col min="3" max="3" width="11.77734375" style="1" customWidth="1"/>
    <col min="5" max="5" width="25.21875" customWidth="1"/>
    <col min="6" max="6" width="10.21875" bestFit="1" customWidth="1"/>
    <col min="7" max="7" width="10.88671875" bestFit="1" customWidth="1"/>
    <col min="8" max="8" width="18.44140625" bestFit="1" customWidth="1"/>
    <col min="9" max="9" width="8" bestFit="1" customWidth="1"/>
    <col min="10" max="10" width="17.5546875" customWidth="1"/>
    <col min="11" max="11" width="27.33203125" bestFit="1" customWidth="1"/>
    <col min="12" max="12" width="23.5546875" bestFit="1" customWidth="1"/>
    <col min="13" max="13" width="11.5546875" bestFit="1" customWidth="1"/>
    <col min="14" max="14" width="12.77734375" bestFit="1" customWidth="1"/>
    <col min="15" max="15" width="22.44140625" customWidth="1"/>
    <col min="16" max="16" width="22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21</v>
      </c>
      <c r="O1" t="s">
        <v>33</v>
      </c>
      <c r="P1" t="s">
        <v>34</v>
      </c>
      <c r="Q1" t="s">
        <v>60</v>
      </c>
    </row>
    <row r="2" spans="1:17" x14ac:dyDescent="0.3">
      <c r="A2" t="s">
        <v>12</v>
      </c>
      <c r="B2">
        <v>3000009</v>
      </c>
      <c r="C2" s="1">
        <v>0</v>
      </c>
      <c r="D2">
        <v>0</v>
      </c>
      <c r="E2">
        <v>2.327</v>
      </c>
      <c r="F2">
        <v>60.3</v>
      </c>
      <c r="G2">
        <v>2.95</v>
      </c>
      <c r="H2" s="2" t="s">
        <v>14</v>
      </c>
      <c r="I2">
        <v>33.21</v>
      </c>
      <c r="J2">
        <v>4.4459999999999997</v>
      </c>
      <c r="K2">
        <v>2270.2438999999999</v>
      </c>
      <c r="L2">
        <v>2274.88823</v>
      </c>
      <c r="M2">
        <v>5</v>
      </c>
      <c r="N2">
        <v>3</v>
      </c>
      <c r="O2" t="s">
        <v>35</v>
      </c>
      <c r="P2" t="s">
        <v>36</v>
      </c>
      <c r="Q2" t="s">
        <v>62</v>
      </c>
    </row>
    <row r="3" spans="1:17" x14ac:dyDescent="0.3">
      <c r="A3" t="s">
        <v>12</v>
      </c>
      <c r="B3">
        <v>3049211</v>
      </c>
      <c r="C3" s="1">
        <v>20.205200000000001</v>
      </c>
      <c r="D3">
        <v>20</v>
      </c>
      <c r="E3">
        <v>8.08</v>
      </c>
      <c r="F3">
        <v>69.674999999999997</v>
      </c>
      <c r="G3">
        <v>60.333329999999997</v>
      </c>
      <c r="H3" s="2" t="s">
        <v>15</v>
      </c>
      <c r="I3">
        <v>29.94</v>
      </c>
      <c r="J3">
        <v>6.7</v>
      </c>
      <c r="K3">
        <v>7882.9268300000003</v>
      </c>
      <c r="L3">
        <v>7918.2478700000001</v>
      </c>
      <c r="M3">
        <v>5</v>
      </c>
      <c r="N3">
        <v>3</v>
      </c>
      <c r="O3" t="s">
        <v>35</v>
      </c>
      <c r="P3" t="s">
        <v>36</v>
      </c>
      <c r="Q3" t="s">
        <v>62</v>
      </c>
    </row>
    <row r="4" spans="1:17" x14ac:dyDescent="0.3">
      <c r="A4" t="s">
        <v>12</v>
      </c>
      <c r="B4">
        <v>3050147</v>
      </c>
      <c r="C4" s="1">
        <v>75.8125</v>
      </c>
      <c r="D4">
        <v>75</v>
      </c>
      <c r="E4">
        <v>32</v>
      </c>
      <c r="F4">
        <v>78.665000000000006</v>
      </c>
      <c r="G4">
        <v>71.133330000000001</v>
      </c>
      <c r="H4" s="2" t="s">
        <v>16</v>
      </c>
      <c r="I4">
        <v>34.65</v>
      </c>
      <c r="J4">
        <v>-0.94</v>
      </c>
      <c r="K4">
        <v>31219.512200000001</v>
      </c>
      <c r="L4">
        <v>31249.980230000001</v>
      </c>
      <c r="M4">
        <v>5</v>
      </c>
      <c r="N4">
        <v>3</v>
      </c>
      <c r="O4" t="s">
        <v>35</v>
      </c>
      <c r="P4" t="s">
        <v>36</v>
      </c>
      <c r="Q4" t="s">
        <v>62</v>
      </c>
    </row>
    <row r="5" spans="1:17" x14ac:dyDescent="0.3">
      <c r="A5" t="s">
        <v>13</v>
      </c>
      <c r="B5">
        <v>2000403</v>
      </c>
      <c r="C5" s="1">
        <v>50.965000000000003</v>
      </c>
      <c r="D5">
        <v>50.417999999999999</v>
      </c>
      <c r="E5">
        <v>0.21581871999999999</v>
      </c>
      <c r="F5">
        <v>80.984830000000002</v>
      </c>
      <c r="G5">
        <v>72.927499999999995</v>
      </c>
      <c r="H5" s="2" t="s">
        <v>17</v>
      </c>
      <c r="I5">
        <v>34.535699999999999</v>
      </c>
      <c r="J5">
        <v>-0.66700000000000004</v>
      </c>
      <c r="K5">
        <v>0.21054999999999999</v>
      </c>
      <c r="L5">
        <v>0.20992</v>
      </c>
      <c r="M5">
        <v>4</v>
      </c>
      <c r="N5">
        <v>14</v>
      </c>
      <c r="O5" t="s">
        <v>37</v>
      </c>
      <c r="P5" t="s">
        <v>38</v>
      </c>
      <c r="Q5" t="s">
        <v>62</v>
      </c>
    </row>
    <row r="6" spans="1:17" x14ac:dyDescent="0.3">
      <c r="A6" t="s">
        <v>13</v>
      </c>
      <c r="B6">
        <v>46154</v>
      </c>
      <c r="C6" s="1">
        <v>5.0381</v>
      </c>
      <c r="D6">
        <v>4.9970999999999997</v>
      </c>
      <c r="E6">
        <v>5.14</v>
      </c>
      <c r="F6">
        <v>45.005000000000003</v>
      </c>
      <c r="G6">
        <v>-16.16</v>
      </c>
      <c r="H6" s="2" t="s">
        <v>18</v>
      </c>
      <c r="I6">
        <v>35.728999999999999</v>
      </c>
      <c r="J6">
        <v>12.44</v>
      </c>
      <c r="K6">
        <v>5.14</v>
      </c>
      <c r="L6">
        <v>5.14</v>
      </c>
      <c r="M6">
        <v>4</v>
      </c>
      <c r="N6">
        <v>14</v>
      </c>
      <c r="O6" t="s">
        <v>37</v>
      </c>
      <c r="P6" t="s">
        <v>38</v>
      </c>
      <c r="Q6" t="s">
        <v>62</v>
      </c>
    </row>
    <row r="7" spans="1:17" x14ac:dyDescent="0.3">
      <c r="A7" t="s">
        <v>13</v>
      </c>
      <c r="B7">
        <v>32035816</v>
      </c>
      <c r="C7" s="1">
        <v>2</v>
      </c>
      <c r="D7">
        <v>2</v>
      </c>
      <c r="E7">
        <v>43.68</v>
      </c>
      <c r="F7">
        <v>34.549999999999997</v>
      </c>
      <c r="G7">
        <v>135.28</v>
      </c>
      <c r="H7" s="3" t="s">
        <v>19</v>
      </c>
      <c r="I7">
        <v>30.135000000000002</v>
      </c>
      <c r="J7">
        <v>6.72</v>
      </c>
      <c r="K7" s="4">
        <v>42.614629999999998</v>
      </c>
      <c r="L7">
        <v>42.669510000000002</v>
      </c>
      <c r="M7">
        <v>4</v>
      </c>
      <c r="N7">
        <v>14</v>
      </c>
      <c r="O7" t="s">
        <v>37</v>
      </c>
      <c r="P7" t="s">
        <v>38</v>
      </c>
      <c r="Q7" t="s">
        <v>62</v>
      </c>
    </row>
    <row r="8" spans="1:17" x14ac:dyDescent="0.3">
      <c r="A8" t="s">
        <v>22</v>
      </c>
      <c r="B8">
        <v>2000519</v>
      </c>
      <c r="C8" s="1">
        <v>29.263999999999999</v>
      </c>
      <c r="D8">
        <v>28.950600000000001</v>
      </c>
      <c r="E8" s="5">
        <v>0.41163452993548399</v>
      </c>
      <c r="F8">
        <v>82.162670000000006</v>
      </c>
      <c r="G8">
        <v>94.8155</v>
      </c>
      <c r="H8" s="2" t="s">
        <v>44</v>
      </c>
      <c r="I8">
        <v>34.827100000000002</v>
      </c>
      <c r="J8">
        <v>-1.7831349999999999</v>
      </c>
      <c r="K8">
        <v>0.40159</v>
      </c>
      <c r="L8">
        <v>0.40209</v>
      </c>
      <c r="M8">
        <v>4</v>
      </c>
      <c r="N8">
        <v>14</v>
      </c>
      <c r="O8" t="s">
        <v>37</v>
      </c>
      <c r="P8" t="s">
        <v>38</v>
      </c>
      <c r="Q8" t="s">
        <v>62</v>
      </c>
    </row>
    <row r="9" spans="1:17" x14ac:dyDescent="0.3">
      <c r="A9" t="s">
        <v>22</v>
      </c>
      <c r="B9">
        <v>2000520</v>
      </c>
      <c r="C9" s="1">
        <v>3.6869999999999998</v>
      </c>
      <c r="D9">
        <v>3.6478000000000002</v>
      </c>
      <c r="E9" s="6">
        <v>0.207408280666668</v>
      </c>
      <c r="F9">
        <v>81.802170000000004</v>
      </c>
      <c r="G9">
        <v>94.293670000000006</v>
      </c>
      <c r="H9" s="2" t="s">
        <v>45</v>
      </c>
      <c r="I9">
        <v>33.014499999999998</v>
      </c>
      <c r="J9">
        <v>-0.55432499999999996</v>
      </c>
      <c r="K9">
        <v>0.20235</v>
      </c>
      <c r="L9">
        <v>0.20279</v>
      </c>
      <c r="M9">
        <v>4</v>
      </c>
      <c r="N9">
        <v>14</v>
      </c>
      <c r="O9" t="s">
        <v>37</v>
      </c>
      <c r="P9" t="s">
        <v>38</v>
      </c>
      <c r="Q9" t="s">
        <v>62</v>
      </c>
    </row>
    <row r="10" spans="1:17" x14ac:dyDescent="0.3">
      <c r="A10" t="s">
        <v>22</v>
      </c>
      <c r="B10">
        <v>2000531</v>
      </c>
      <c r="C10" s="1">
        <v>100.3</v>
      </c>
      <c r="D10">
        <v>99.224299999999999</v>
      </c>
      <c r="E10" s="5">
        <v>5.5097329513548399</v>
      </c>
      <c r="F10">
        <v>77.289829999999995</v>
      </c>
      <c r="G10">
        <v>123.81100000000001</v>
      </c>
      <c r="H10" s="2" t="s">
        <v>43</v>
      </c>
      <c r="I10">
        <v>34.555</v>
      </c>
      <c r="J10">
        <v>-0.79134000000000004</v>
      </c>
      <c r="K10">
        <v>5.3753500000000001</v>
      </c>
      <c r="L10">
        <v>5.3809699999999996</v>
      </c>
      <c r="M10">
        <v>4</v>
      </c>
      <c r="N10">
        <v>14</v>
      </c>
      <c r="O10" t="s">
        <v>37</v>
      </c>
      <c r="P10" t="s">
        <v>38</v>
      </c>
      <c r="Q10" t="s">
        <v>62</v>
      </c>
    </row>
    <row r="11" spans="1:17" x14ac:dyDescent="0.3">
      <c r="A11" t="s">
        <v>23</v>
      </c>
      <c r="B11">
        <v>33133561</v>
      </c>
      <c r="C11" s="1">
        <v>0</v>
      </c>
      <c r="D11">
        <v>0</v>
      </c>
      <c r="E11">
        <v>1.966</v>
      </c>
      <c r="F11">
        <v>12.1</v>
      </c>
      <c r="G11">
        <v>154.9</v>
      </c>
      <c r="H11" s="3" t="s">
        <v>46</v>
      </c>
      <c r="I11">
        <v>34.3033</v>
      </c>
      <c r="J11">
        <v>27.8</v>
      </c>
      <c r="K11">
        <v>1918.0487800000001</v>
      </c>
      <c r="L11">
        <v>1920.4156700000001</v>
      </c>
      <c r="M11">
        <v>7</v>
      </c>
      <c r="N11">
        <v>3</v>
      </c>
      <c r="O11" t="s">
        <v>39</v>
      </c>
      <c r="P11" t="s">
        <v>36</v>
      </c>
      <c r="Q11" t="s">
        <v>62</v>
      </c>
    </row>
    <row r="12" spans="1:17" x14ac:dyDescent="0.3">
      <c r="A12" t="s">
        <v>23</v>
      </c>
      <c r="B12">
        <v>31024133</v>
      </c>
      <c r="C12" s="1">
        <v>2924.8</v>
      </c>
      <c r="D12">
        <v>2886</v>
      </c>
      <c r="E12">
        <v>2.37</v>
      </c>
      <c r="F12">
        <v>-25</v>
      </c>
      <c r="G12">
        <v>-141.94999999999999</v>
      </c>
      <c r="H12" s="2" t="s">
        <v>59</v>
      </c>
      <c r="I12">
        <v>34.665999999999997</v>
      </c>
      <c r="J12">
        <v>1.74</v>
      </c>
      <c r="M12">
        <v>7</v>
      </c>
      <c r="N12">
        <v>3</v>
      </c>
      <c r="O12" t="s">
        <v>39</v>
      </c>
      <c r="P12" t="s">
        <v>36</v>
      </c>
      <c r="Q12" t="s">
        <v>61</v>
      </c>
    </row>
    <row r="13" spans="1:17" x14ac:dyDescent="0.3">
      <c r="A13" t="s">
        <v>23</v>
      </c>
      <c r="B13">
        <v>32929404</v>
      </c>
      <c r="C13" s="1">
        <v>175.4</v>
      </c>
      <c r="D13">
        <v>173.5</v>
      </c>
      <c r="E13">
        <v>2.2902999999999998</v>
      </c>
      <c r="F13" s="7">
        <v>-76.500969999999995</v>
      </c>
      <c r="G13">
        <v>177.96729999999999</v>
      </c>
      <c r="H13" s="2" t="s">
        <v>47</v>
      </c>
      <c r="I13">
        <v>34.624000000000002</v>
      </c>
      <c r="J13">
        <v>-1.8779999999999999</v>
      </c>
      <c r="K13">
        <v>2234.4390199999998</v>
      </c>
      <c r="L13">
        <v>2236.6581000000001</v>
      </c>
      <c r="M13">
        <v>7</v>
      </c>
      <c r="N13">
        <v>3</v>
      </c>
      <c r="O13" t="s">
        <v>39</v>
      </c>
      <c r="P13" t="s">
        <v>36</v>
      </c>
      <c r="Q13" t="s">
        <v>62</v>
      </c>
    </row>
    <row r="14" spans="1:17" x14ac:dyDescent="0.3">
      <c r="A14" t="s">
        <v>24</v>
      </c>
      <c r="B14">
        <v>2000519</v>
      </c>
      <c r="C14" s="1">
        <v>2.9517000000000002</v>
      </c>
      <c r="D14">
        <v>2.9203000000000001</v>
      </c>
      <c r="E14">
        <v>0.46337326322580902</v>
      </c>
      <c r="F14">
        <v>82.162670000000006</v>
      </c>
      <c r="G14">
        <v>94.8155</v>
      </c>
      <c r="H14" s="2" t="s">
        <v>44</v>
      </c>
      <c r="I14">
        <v>32.1265</v>
      </c>
      <c r="J14" s="1">
        <v>-1.50145</v>
      </c>
      <c r="K14">
        <v>0.45207000000000003</v>
      </c>
      <c r="L14">
        <v>0.45335999999999999</v>
      </c>
      <c r="M14">
        <v>4</v>
      </c>
      <c r="N14">
        <v>14</v>
      </c>
      <c r="O14" t="s">
        <v>37</v>
      </c>
      <c r="P14" t="s">
        <v>38</v>
      </c>
      <c r="Q14" t="s">
        <v>62</v>
      </c>
    </row>
    <row r="15" spans="1:17" x14ac:dyDescent="0.3">
      <c r="A15" t="s">
        <v>24</v>
      </c>
      <c r="B15">
        <v>2000524</v>
      </c>
      <c r="C15" s="1">
        <v>10.233000000000001</v>
      </c>
      <c r="D15">
        <v>10.123900000000001</v>
      </c>
      <c r="E15" s="6">
        <v>0.94336042158620703</v>
      </c>
      <c r="F15">
        <v>82.097329999999999</v>
      </c>
      <c r="G15">
        <v>94.784499999999994</v>
      </c>
      <c r="H15" s="2" t="s">
        <v>48</v>
      </c>
      <c r="I15">
        <v>33.113</v>
      </c>
      <c r="J15">
        <v>-1.3105500000000001</v>
      </c>
      <c r="K15">
        <v>0.92035</v>
      </c>
      <c r="L15">
        <v>0.92232999999999998</v>
      </c>
      <c r="M15">
        <v>4</v>
      </c>
      <c r="N15">
        <v>14</v>
      </c>
      <c r="O15" t="s">
        <v>37</v>
      </c>
      <c r="P15" t="s">
        <v>38</v>
      </c>
      <c r="Q15" t="s">
        <v>62</v>
      </c>
    </row>
    <row r="16" spans="1:17" x14ac:dyDescent="0.3">
      <c r="A16" t="s">
        <v>24</v>
      </c>
      <c r="B16">
        <v>2000529</v>
      </c>
      <c r="C16" s="1">
        <v>101.3</v>
      </c>
      <c r="D16">
        <v>100.214</v>
      </c>
      <c r="E16">
        <v>9.6668235970000005</v>
      </c>
      <c r="F16">
        <v>77.122169999999997</v>
      </c>
      <c r="G16">
        <v>125.79833000000001</v>
      </c>
      <c r="H16" s="2" t="s">
        <v>49</v>
      </c>
      <c r="I16">
        <v>34.543999999999997</v>
      </c>
      <c r="J16">
        <v>-1.3079499999999999</v>
      </c>
      <c r="K16">
        <v>9.4310500000000008</v>
      </c>
      <c r="L16">
        <v>9.4409799999999997</v>
      </c>
      <c r="M16">
        <v>4</v>
      </c>
      <c r="N16">
        <v>14</v>
      </c>
      <c r="O16" t="s">
        <v>37</v>
      </c>
      <c r="P16" t="s">
        <v>38</v>
      </c>
      <c r="Q16" t="s">
        <v>62</v>
      </c>
    </row>
    <row r="17" spans="1:17" x14ac:dyDescent="0.3">
      <c r="A17" t="s">
        <v>25</v>
      </c>
      <c r="B17">
        <v>0</v>
      </c>
      <c r="C17" s="1">
        <v>0</v>
      </c>
      <c r="D17">
        <v>0</v>
      </c>
      <c r="E17">
        <v>2.8420000000000001E-2</v>
      </c>
      <c r="K17">
        <f>E17*10^6</f>
        <v>28420</v>
      </c>
      <c r="L17">
        <f>K17</f>
        <v>28420</v>
      </c>
      <c r="M17">
        <v>12</v>
      </c>
      <c r="N17">
        <v>19</v>
      </c>
      <c r="O17" t="s">
        <v>40</v>
      </c>
      <c r="P17" t="s">
        <v>41</v>
      </c>
      <c r="Q17" t="s">
        <v>62</v>
      </c>
    </row>
    <row r="18" spans="1:17" x14ac:dyDescent="0.3">
      <c r="A18" t="s">
        <v>26</v>
      </c>
      <c r="B18">
        <v>2000188</v>
      </c>
      <c r="C18" s="1">
        <v>0</v>
      </c>
      <c r="D18">
        <v>0</v>
      </c>
      <c r="E18">
        <v>6.7930000000000001</v>
      </c>
      <c r="F18">
        <v>76.738</v>
      </c>
      <c r="G18">
        <v>125.905</v>
      </c>
      <c r="H18" s="2" t="s">
        <v>53</v>
      </c>
      <c r="I18">
        <v>29.78</v>
      </c>
      <c r="J18">
        <v>1.6080000000000001</v>
      </c>
      <c r="K18">
        <v>295.98261000000002</v>
      </c>
      <c r="L18">
        <v>296.30982</v>
      </c>
      <c r="M18">
        <v>21</v>
      </c>
      <c r="N18">
        <v>3</v>
      </c>
      <c r="O18" t="s">
        <v>42</v>
      </c>
      <c r="P18" t="s">
        <v>36</v>
      </c>
      <c r="Q18" t="s">
        <v>62</v>
      </c>
    </row>
    <row r="19" spans="1:17" x14ac:dyDescent="0.3">
      <c r="A19" t="s">
        <v>26</v>
      </c>
      <c r="B19">
        <v>2000190</v>
      </c>
      <c r="C19" s="1">
        <v>55</v>
      </c>
      <c r="D19">
        <v>54.416400000000003</v>
      </c>
      <c r="E19">
        <v>6.5229999999999997</v>
      </c>
      <c r="F19">
        <v>77.165999999999997</v>
      </c>
      <c r="G19">
        <v>125.989</v>
      </c>
      <c r="H19" s="2" t="s">
        <v>53</v>
      </c>
      <c r="I19">
        <v>34.097000000000001</v>
      </c>
      <c r="J19">
        <v>-1.327</v>
      </c>
      <c r="K19">
        <v>284.21825000000001</v>
      </c>
      <c r="L19">
        <v>283.45756999999998</v>
      </c>
      <c r="M19">
        <v>21</v>
      </c>
      <c r="N19">
        <v>3</v>
      </c>
      <c r="O19" t="s">
        <v>42</v>
      </c>
      <c r="P19" t="s">
        <v>36</v>
      </c>
      <c r="Q19" t="s">
        <v>62</v>
      </c>
    </row>
    <row r="20" spans="1:17" x14ac:dyDescent="0.3">
      <c r="A20" t="s">
        <v>26</v>
      </c>
      <c r="B20">
        <v>2000208</v>
      </c>
      <c r="C20" s="1">
        <v>1111</v>
      </c>
      <c r="D20">
        <v>1096.317</v>
      </c>
      <c r="E20">
        <v>6.1989999999999998</v>
      </c>
      <c r="F20">
        <v>79.930999999999997</v>
      </c>
      <c r="G20">
        <v>142.245</v>
      </c>
      <c r="H20" s="2" t="s">
        <v>54</v>
      </c>
      <c r="I20">
        <v>34.883000000000003</v>
      </c>
      <c r="J20">
        <v>-0.23499999999999999</v>
      </c>
      <c r="K20">
        <v>270.10100999999997</v>
      </c>
      <c r="L20">
        <v>267.92685</v>
      </c>
      <c r="M20">
        <v>21</v>
      </c>
      <c r="N20">
        <v>3</v>
      </c>
      <c r="O20" t="s">
        <v>42</v>
      </c>
      <c r="P20" t="s">
        <v>36</v>
      </c>
      <c r="Q20" t="s">
        <v>62</v>
      </c>
    </row>
    <row r="21" spans="1:17" x14ac:dyDescent="0.3">
      <c r="A21" t="s">
        <v>26</v>
      </c>
      <c r="B21">
        <v>3048001</v>
      </c>
      <c r="C21" s="1">
        <v>0</v>
      </c>
      <c r="D21">
        <v>0</v>
      </c>
      <c r="E21">
        <v>94</v>
      </c>
      <c r="F21">
        <v>81.849999999999994</v>
      </c>
      <c r="G21">
        <v>57.75</v>
      </c>
      <c r="H21" s="2" t="s">
        <v>55</v>
      </c>
      <c r="I21">
        <v>34.049999999999997</v>
      </c>
      <c r="J21">
        <v>-1.6</v>
      </c>
      <c r="K21">
        <v>-9999</v>
      </c>
      <c r="L21">
        <v>-9999</v>
      </c>
      <c r="M21">
        <v>10</v>
      </c>
      <c r="N21">
        <v>3</v>
      </c>
      <c r="O21" t="s">
        <v>58</v>
      </c>
      <c r="P21" t="s">
        <v>36</v>
      </c>
      <c r="Q21" t="s">
        <v>61</v>
      </c>
    </row>
    <row r="22" spans="1:17" x14ac:dyDescent="0.3">
      <c r="A22" t="s">
        <v>26</v>
      </c>
      <c r="B22">
        <v>3048002</v>
      </c>
      <c r="C22" s="1">
        <v>101.0997</v>
      </c>
      <c r="D22">
        <v>100</v>
      </c>
      <c r="E22">
        <v>87</v>
      </c>
      <c r="F22">
        <v>81.966669999999993</v>
      </c>
      <c r="G22">
        <v>57.083329999999997</v>
      </c>
      <c r="H22" s="2" t="s">
        <v>56</v>
      </c>
      <c r="I22">
        <v>34.69</v>
      </c>
      <c r="J22">
        <v>-0.46</v>
      </c>
      <c r="K22">
        <v>-9999</v>
      </c>
      <c r="L22">
        <v>-9999</v>
      </c>
      <c r="M22">
        <v>10</v>
      </c>
      <c r="N22">
        <v>3</v>
      </c>
      <c r="O22" t="s">
        <v>58</v>
      </c>
      <c r="P22" t="s">
        <v>36</v>
      </c>
      <c r="Q22" t="s">
        <v>61</v>
      </c>
    </row>
    <row r="23" spans="1:17" x14ac:dyDescent="0.3">
      <c r="A23" t="s">
        <v>26</v>
      </c>
      <c r="B23">
        <v>3060515</v>
      </c>
      <c r="C23" s="1">
        <v>399.40320000000003</v>
      </c>
      <c r="D23">
        <v>395</v>
      </c>
      <c r="E23">
        <v>91.8</v>
      </c>
      <c r="F23">
        <v>69.066670000000002</v>
      </c>
      <c r="G23">
        <v>17.33333</v>
      </c>
      <c r="H23" s="2" t="s">
        <v>57</v>
      </c>
      <c r="I23">
        <v>34.840000000000003</v>
      </c>
      <c r="J23">
        <v>6.29</v>
      </c>
      <c r="K23">
        <v>-9999</v>
      </c>
      <c r="L23">
        <v>-9999</v>
      </c>
      <c r="M23">
        <v>10</v>
      </c>
      <c r="N23">
        <v>3</v>
      </c>
      <c r="O23" t="s">
        <v>58</v>
      </c>
      <c r="P23" t="s">
        <v>36</v>
      </c>
      <c r="Q23" t="s">
        <v>61</v>
      </c>
    </row>
    <row r="24" spans="1:17" x14ac:dyDescent="0.3">
      <c r="A24" t="s">
        <v>27</v>
      </c>
      <c r="M24">
        <v>7</v>
      </c>
      <c r="N24">
        <v>3</v>
      </c>
    </row>
    <row r="25" spans="1:17" x14ac:dyDescent="0.3">
      <c r="A25" t="s">
        <v>27</v>
      </c>
      <c r="M25">
        <v>7</v>
      </c>
      <c r="N25">
        <v>3</v>
      </c>
    </row>
    <row r="26" spans="1:17" x14ac:dyDescent="0.3">
      <c r="A26" t="s">
        <v>27</v>
      </c>
      <c r="M26">
        <v>7</v>
      </c>
      <c r="N26">
        <v>3</v>
      </c>
    </row>
    <row r="27" spans="1:17" x14ac:dyDescent="0.3">
      <c r="A27" t="s">
        <v>27</v>
      </c>
      <c r="M27">
        <v>14</v>
      </c>
      <c r="N27">
        <v>3</v>
      </c>
    </row>
    <row r="28" spans="1:17" x14ac:dyDescent="0.3">
      <c r="A28" t="s">
        <v>27</v>
      </c>
      <c r="M28">
        <v>14</v>
      </c>
      <c r="N28">
        <v>3</v>
      </c>
    </row>
    <row r="29" spans="1:17" x14ac:dyDescent="0.3">
      <c r="A29" t="s">
        <v>27</v>
      </c>
      <c r="M29">
        <v>14</v>
      </c>
      <c r="N29">
        <v>3</v>
      </c>
    </row>
    <row r="30" spans="1:17" x14ac:dyDescent="0.3">
      <c r="A30" t="s">
        <v>28</v>
      </c>
      <c r="M30">
        <v>14</v>
      </c>
      <c r="N30">
        <v>3</v>
      </c>
    </row>
    <row r="31" spans="1:17" x14ac:dyDescent="0.3">
      <c r="A31" t="s">
        <v>28</v>
      </c>
      <c r="M31">
        <v>14</v>
      </c>
      <c r="N31">
        <v>3</v>
      </c>
    </row>
    <row r="32" spans="1:17" x14ac:dyDescent="0.3">
      <c r="A32" t="s">
        <v>28</v>
      </c>
      <c r="M32">
        <v>14</v>
      </c>
      <c r="N32">
        <v>3</v>
      </c>
    </row>
    <row r="33" spans="1:14" x14ac:dyDescent="0.3">
      <c r="A33" t="s">
        <v>28</v>
      </c>
      <c r="M33">
        <v>26</v>
      </c>
      <c r="N33">
        <v>3</v>
      </c>
    </row>
    <row r="34" spans="1:14" x14ac:dyDescent="0.3">
      <c r="A34" t="s">
        <v>28</v>
      </c>
      <c r="M34">
        <v>26</v>
      </c>
      <c r="N34">
        <v>3</v>
      </c>
    </row>
    <row r="35" spans="1:14" x14ac:dyDescent="0.3">
      <c r="A35" t="s">
        <v>28</v>
      </c>
      <c r="M35">
        <v>26</v>
      </c>
      <c r="N35">
        <v>3</v>
      </c>
    </row>
    <row r="36" spans="1:14" x14ac:dyDescent="0.3">
      <c r="A36" t="s">
        <v>28</v>
      </c>
      <c r="M36">
        <v>4</v>
      </c>
      <c r="N36">
        <v>3</v>
      </c>
    </row>
    <row r="37" spans="1:14" x14ac:dyDescent="0.3">
      <c r="A37" t="s">
        <v>28</v>
      </c>
      <c r="M37">
        <v>4</v>
      </c>
      <c r="N37">
        <v>3</v>
      </c>
    </row>
    <row r="38" spans="1:14" x14ac:dyDescent="0.3">
      <c r="A38" t="s">
        <v>28</v>
      </c>
      <c r="M38">
        <v>4</v>
      </c>
      <c r="N38">
        <v>3</v>
      </c>
    </row>
    <row r="39" spans="1:14" x14ac:dyDescent="0.3">
      <c r="A39" t="s">
        <v>29</v>
      </c>
      <c r="M39">
        <v>4</v>
      </c>
      <c r="N39">
        <v>3</v>
      </c>
    </row>
    <row r="40" spans="1:14" x14ac:dyDescent="0.3">
      <c r="A40" t="s">
        <v>29</v>
      </c>
      <c r="M40">
        <v>4</v>
      </c>
      <c r="N40">
        <v>3</v>
      </c>
    </row>
    <row r="41" spans="1:14" x14ac:dyDescent="0.3">
      <c r="A41" t="s">
        <v>29</v>
      </c>
      <c r="M41">
        <v>4</v>
      </c>
      <c r="N41">
        <v>3</v>
      </c>
    </row>
    <row r="42" spans="1:14" x14ac:dyDescent="0.3">
      <c r="A42" t="s">
        <v>30</v>
      </c>
      <c r="M42">
        <v>14</v>
      </c>
      <c r="N42">
        <v>3</v>
      </c>
    </row>
    <row r="43" spans="1:14" x14ac:dyDescent="0.3">
      <c r="A43" t="s">
        <v>30</v>
      </c>
      <c r="M43">
        <v>14</v>
      </c>
      <c r="N43">
        <v>3</v>
      </c>
    </row>
    <row r="44" spans="1:14" x14ac:dyDescent="0.3">
      <c r="A44" t="s">
        <v>30</v>
      </c>
      <c r="M44">
        <v>14</v>
      </c>
      <c r="N44">
        <v>3</v>
      </c>
    </row>
    <row r="45" spans="1:14" x14ac:dyDescent="0.3">
      <c r="A45" t="s">
        <v>30</v>
      </c>
      <c r="M45">
        <v>26</v>
      </c>
      <c r="N45">
        <v>3</v>
      </c>
    </row>
    <row r="46" spans="1:14" x14ac:dyDescent="0.3">
      <c r="A46" t="s">
        <v>30</v>
      </c>
      <c r="M46">
        <v>26</v>
      </c>
      <c r="N46">
        <v>3</v>
      </c>
    </row>
    <row r="47" spans="1:14" x14ac:dyDescent="0.3">
      <c r="A47" t="s">
        <v>30</v>
      </c>
      <c r="M47">
        <v>26</v>
      </c>
      <c r="N47">
        <v>3</v>
      </c>
    </row>
    <row r="48" spans="1:14" x14ac:dyDescent="0.3">
      <c r="A48" t="s">
        <v>30</v>
      </c>
      <c r="M48">
        <v>4</v>
      </c>
      <c r="N48">
        <v>3</v>
      </c>
    </row>
    <row r="49" spans="1:14" x14ac:dyDescent="0.3">
      <c r="A49" t="s">
        <v>30</v>
      </c>
      <c r="M49">
        <v>4</v>
      </c>
      <c r="N49">
        <v>3</v>
      </c>
    </row>
    <row r="50" spans="1:14" x14ac:dyDescent="0.3">
      <c r="A50" t="s">
        <v>30</v>
      </c>
      <c r="M50">
        <v>4</v>
      </c>
      <c r="N50">
        <v>3</v>
      </c>
    </row>
    <row r="51" spans="1:14" x14ac:dyDescent="0.3">
      <c r="A51" t="s">
        <v>31</v>
      </c>
      <c r="M51">
        <v>14</v>
      </c>
      <c r="N51">
        <v>3</v>
      </c>
    </row>
    <row r="52" spans="1:14" x14ac:dyDescent="0.3">
      <c r="A52" t="s">
        <v>31</v>
      </c>
      <c r="M52">
        <v>14</v>
      </c>
      <c r="N52">
        <v>3</v>
      </c>
    </row>
    <row r="53" spans="1:14" x14ac:dyDescent="0.3">
      <c r="A53" t="s">
        <v>31</v>
      </c>
      <c r="M53">
        <v>14</v>
      </c>
      <c r="N53">
        <v>3</v>
      </c>
    </row>
    <row r="54" spans="1:14" x14ac:dyDescent="0.3">
      <c r="A54" t="s">
        <v>31</v>
      </c>
      <c r="M54">
        <v>26</v>
      </c>
      <c r="N54">
        <v>3</v>
      </c>
    </row>
    <row r="55" spans="1:14" x14ac:dyDescent="0.3">
      <c r="A55" t="s">
        <v>31</v>
      </c>
      <c r="M55">
        <v>26</v>
      </c>
      <c r="N55">
        <v>3</v>
      </c>
    </row>
    <row r="56" spans="1:14" x14ac:dyDescent="0.3">
      <c r="A56" t="s">
        <v>31</v>
      </c>
      <c r="M56">
        <v>26</v>
      </c>
      <c r="N56">
        <v>3</v>
      </c>
    </row>
    <row r="57" spans="1:14" x14ac:dyDescent="0.3">
      <c r="A57" t="s">
        <v>31</v>
      </c>
      <c r="M57">
        <v>4</v>
      </c>
      <c r="N57">
        <v>3</v>
      </c>
    </row>
    <row r="58" spans="1:14" x14ac:dyDescent="0.3">
      <c r="A58" t="s">
        <v>31</v>
      </c>
      <c r="M58">
        <v>4</v>
      </c>
      <c r="N58">
        <v>3</v>
      </c>
    </row>
    <row r="59" spans="1:14" x14ac:dyDescent="0.3">
      <c r="A59" t="s">
        <v>31</v>
      </c>
      <c r="M59">
        <v>4</v>
      </c>
      <c r="N59">
        <v>3</v>
      </c>
    </row>
    <row r="60" spans="1:14" x14ac:dyDescent="0.3">
      <c r="A60" t="s">
        <v>32</v>
      </c>
      <c r="M60">
        <v>14</v>
      </c>
      <c r="N60">
        <v>3</v>
      </c>
    </row>
    <row r="61" spans="1:14" x14ac:dyDescent="0.3">
      <c r="A61" t="s">
        <v>32</v>
      </c>
      <c r="M61">
        <v>14</v>
      </c>
      <c r="N61">
        <v>3</v>
      </c>
    </row>
    <row r="62" spans="1:14" x14ac:dyDescent="0.3">
      <c r="A62" t="s">
        <v>32</v>
      </c>
      <c r="M62">
        <v>14</v>
      </c>
      <c r="N62">
        <v>3</v>
      </c>
    </row>
    <row r="63" spans="1:14" x14ac:dyDescent="0.3">
      <c r="A63" t="s">
        <v>32</v>
      </c>
      <c r="M63">
        <v>26</v>
      </c>
      <c r="N63">
        <v>3</v>
      </c>
    </row>
    <row r="64" spans="1:14" x14ac:dyDescent="0.3">
      <c r="A64" t="s">
        <v>32</v>
      </c>
      <c r="M64">
        <v>26</v>
      </c>
      <c r="N64">
        <v>3</v>
      </c>
    </row>
    <row r="65" spans="1:14" x14ac:dyDescent="0.3">
      <c r="A65" t="s">
        <v>32</v>
      </c>
      <c r="M65">
        <v>26</v>
      </c>
      <c r="N65">
        <v>3</v>
      </c>
    </row>
    <row r="66" spans="1:14" x14ac:dyDescent="0.3">
      <c r="A66" t="s">
        <v>32</v>
      </c>
      <c r="M66">
        <v>4</v>
      </c>
      <c r="N66">
        <v>3</v>
      </c>
    </row>
    <row r="67" spans="1:14" x14ac:dyDescent="0.3">
      <c r="A67" t="s">
        <v>32</v>
      </c>
      <c r="M67">
        <v>4</v>
      </c>
      <c r="N67">
        <v>3</v>
      </c>
    </row>
    <row r="68" spans="1:14" x14ac:dyDescent="0.3">
      <c r="A68" t="s">
        <v>32</v>
      </c>
      <c r="M68">
        <v>4</v>
      </c>
      <c r="N68">
        <v>3</v>
      </c>
    </row>
    <row r="69" spans="1:14" x14ac:dyDescent="0.3">
      <c r="A69" t="s">
        <v>50</v>
      </c>
      <c r="M69">
        <v>22</v>
      </c>
      <c r="N69">
        <v>9</v>
      </c>
    </row>
    <row r="70" spans="1:14" x14ac:dyDescent="0.3">
      <c r="A70" t="s">
        <v>50</v>
      </c>
      <c r="M70">
        <v>22</v>
      </c>
      <c r="N70">
        <v>9</v>
      </c>
    </row>
    <row r="71" spans="1:14" x14ac:dyDescent="0.3">
      <c r="A71" t="s">
        <v>50</v>
      </c>
      <c r="M71">
        <v>22</v>
      </c>
      <c r="N71">
        <v>9</v>
      </c>
    </row>
    <row r="72" spans="1:14" x14ac:dyDescent="0.3">
      <c r="A72" t="s">
        <v>51</v>
      </c>
      <c r="M72">
        <v>21</v>
      </c>
      <c r="N72">
        <v>23</v>
      </c>
    </row>
    <row r="73" spans="1:14" x14ac:dyDescent="0.3">
      <c r="A73" t="s">
        <v>51</v>
      </c>
      <c r="M73">
        <v>21</v>
      </c>
      <c r="N73">
        <v>23</v>
      </c>
    </row>
    <row r="74" spans="1:14" x14ac:dyDescent="0.3">
      <c r="A74" t="s">
        <v>51</v>
      </c>
      <c r="M74">
        <v>21</v>
      </c>
      <c r="N74">
        <v>23</v>
      </c>
    </row>
    <row r="75" spans="1:14" x14ac:dyDescent="0.3">
      <c r="A75" t="s">
        <v>52</v>
      </c>
      <c r="M75">
        <v>25</v>
      </c>
      <c r="N75">
        <v>22</v>
      </c>
    </row>
    <row r="76" spans="1:14" x14ac:dyDescent="0.3">
      <c r="A76" t="s">
        <v>52</v>
      </c>
      <c r="M76">
        <v>25</v>
      </c>
      <c r="N76">
        <v>22</v>
      </c>
    </row>
    <row r="77" spans="1:14" x14ac:dyDescent="0.3">
      <c r="A77" t="s">
        <v>52</v>
      </c>
      <c r="M77">
        <v>25</v>
      </c>
      <c r="N77">
        <v>22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2022-08-10T16:12:21Z</dcterms:modified>
</cp:coreProperties>
</file>